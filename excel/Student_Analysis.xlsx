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dani\Desktop\EduLens Student Performance Analytics\excel\"/>
    </mc:Choice>
  </mc:AlternateContent>
  <xr:revisionPtr revIDLastSave="0" documentId="8_{8FC800A9-BB66-4AA9-B4AF-4D2E792AB6EE}" xr6:coauthVersionLast="47" xr6:coauthVersionMax="47" xr10:uidLastSave="{00000000-0000-0000-0000-000000000000}"/>
  <bookViews>
    <workbookView xWindow="-108" yWindow="-108" windowWidth="23256" windowHeight="12456" xr2:uid="{A36A1627-950B-4CCD-ABEF-1A9C48645070}"/>
  </bookViews>
  <sheets>
    <sheet name="student_clean" sheetId="1" r:id="rId1"/>
    <sheet name="Average Marks Analysis" sheetId="2" r:id="rId2"/>
    <sheet name="Subject Analysis" sheetId="3" r:id="rId3"/>
    <sheet name="Attendance Analysis" sheetId="4" r:id="rId4"/>
    <sheet name="Dashboard" sheetId="5" r:id="rId5"/>
  </sheets>
  <calcPr calcId="0"/>
  <pivotCaches>
    <pivotCache cacheId="5" r:id="rId6"/>
  </pivotCaches>
</workbook>
</file>

<file path=xl/calcChain.xml><?xml version="1.0" encoding="utf-8"?>
<calcChain xmlns="http://schemas.openxmlformats.org/spreadsheetml/2006/main">
  <c r="K3" i="5" l="1"/>
  <c r="B3" i="5"/>
  <c r="N3" i="5"/>
  <c r="F3" i="5"/>
  <c r="B4" i="3"/>
  <c r="B3" i="3"/>
  <c r="B2" i="3"/>
</calcChain>
</file>

<file path=xl/sharedStrings.xml><?xml version="1.0" encoding="utf-8"?>
<sst xmlns="http://schemas.openxmlformats.org/spreadsheetml/2006/main" count="68" uniqueCount="31">
  <si>
    <t>StudentID</t>
  </si>
  <si>
    <t>Name</t>
  </si>
  <si>
    <t>Math</t>
  </si>
  <si>
    <t>Science</t>
  </si>
  <si>
    <t>English</t>
  </si>
  <si>
    <t>Attendance</t>
  </si>
  <si>
    <t>AverageMarks</t>
  </si>
  <si>
    <t>Aaron</t>
  </si>
  <si>
    <t>Ben</t>
  </si>
  <si>
    <t>Chris</t>
  </si>
  <si>
    <t>David</t>
  </si>
  <si>
    <t>Ethan</t>
  </si>
  <si>
    <t>Felix</t>
  </si>
  <si>
    <t>George</t>
  </si>
  <si>
    <t>Henry</t>
  </si>
  <si>
    <t>Ivan</t>
  </si>
  <si>
    <t>Jack</t>
  </si>
  <si>
    <t>Kevin</t>
  </si>
  <si>
    <t>Liam</t>
  </si>
  <si>
    <t>Mason</t>
  </si>
  <si>
    <t>Noah</t>
  </si>
  <si>
    <t>Oliver</t>
  </si>
  <si>
    <t>Grand Total</t>
  </si>
  <si>
    <t>Average of AverageMarks</t>
  </si>
  <si>
    <t>Subject</t>
  </si>
  <si>
    <t>Average Marks</t>
  </si>
  <si>
    <t>Average of Attendance</t>
  </si>
  <si>
    <t>Top Score</t>
  </si>
  <si>
    <t>Total Students</t>
  </si>
  <si>
    <t>Average Attendance</t>
  </si>
  <si>
    <t>🎓 EduLens Student Performance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</si>
</sst>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/>
    <xf numFmtId="0" fontId="19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 vertical="center"/>
    </xf>
    <xf numFmtId="1" fontId="18" fillId="33" borderId="0" xfId="0" applyNumberFormat="1" applyFont="1" applyFill="1" applyAlignment="1">
      <alignment horizontal="center" vertical="center"/>
    </xf>
    <xf numFmtId="0" fontId="0" fillId="33" borderId="0" xfId="0" applyFill="1"/>
    <xf numFmtId="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[Student_Analysis.xlsx]Average Marks Analysis!PivotTable1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+mn-lt"/>
                <a:cs typeface="Arial" panose="020B0604020202020204" pitchFamily="34" charset="0"/>
              </a:rPr>
              <a:t>Average Marks by Student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Marks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Marks Analysis'!$A$2:$A$17</c:f>
              <c:strCache>
                <c:ptCount val="15"/>
                <c:pt idx="0">
                  <c:v>Aaron</c:v>
                </c:pt>
                <c:pt idx="1">
                  <c:v>Ben</c:v>
                </c:pt>
                <c:pt idx="2">
                  <c:v>Chris</c:v>
                </c:pt>
                <c:pt idx="3">
                  <c:v>David</c:v>
                </c:pt>
                <c:pt idx="4">
                  <c:v>Ethan</c:v>
                </c:pt>
                <c:pt idx="5">
                  <c:v>Felix</c:v>
                </c:pt>
                <c:pt idx="6">
                  <c:v>George</c:v>
                </c:pt>
                <c:pt idx="7">
                  <c:v>Henry</c:v>
                </c:pt>
                <c:pt idx="8">
                  <c:v>Ivan</c:v>
                </c:pt>
                <c:pt idx="9">
                  <c:v>Jack</c:v>
                </c:pt>
                <c:pt idx="10">
                  <c:v>Kevin</c:v>
                </c:pt>
                <c:pt idx="11">
                  <c:v>Liam</c:v>
                </c:pt>
                <c:pt idx="12">
                  <c:v>Mason</c:v>
                </c:pt>
                <c:pt idx="13">
                  <c:v>Noah</c:v>
                </c:pt>
                <c:pt idx="14">
                  <c:v>Oliver</c:v>
                </c:pt>
              </c:strCache>
            </c:strRef>
          </c:cat>
          <c:val>
            <c:numRef>
              <c:f>'Average Marks Analysis'!$B$2:$B$17</c:f>
              <c:numCache>
                <c:formatCode>0</c:formatCode>
                <c:ptCount val="15"/>
                <c:pt idx="0">
                  <c:v>84</c:v>
                </c:pt>
                <c:pt idx="1">
                  <c:v>88</c:v>
                </c:pt>
                <c:pt idx="2">
                  <c:v>79</c:v>
                </c:pt>
                <c:pt idx="3">
                  <c:v>89</c:v>
                </c:pt>
                <c:pt idx="4">
                  <c:v>94</c:v>
                </c:pt>
                <c:pt idx="5">
                  <c:v>70</c:v>
                </c:pt>
                <c:pt idx="6">
                  <c:v>83</c:v>
                </c:pt>
                <c:pt idx="7">
                  <c:v>72</c:v>
                </c:pt>
                <c:pt idx="8">
                  <c:v>89</c:v>
                </c:pt>
                <c:pt idx="9">
                  <c:v>81</c:v>
                </c:pt>
                <c:pt idx="10">
                  <c:v>88</c:v>
                </c:pt>
                <c:pt idx="11">
                  <c:v>96</c:v>
                </c:pt>
                <c:pt idx="12">
                  <c:v>73</c:v>
                </c:pt>
                <c:pt idx="13">
                  <c:v>82</c:v>
                </c:pt>
                <c:pt idx="1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1-45B8-9067-024C75308C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3232480"/>
        <c:axId val="1823233920"/>
      </c:barChart>
      <c:catAx>
        <c:axId val="1823232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33920"/>
        <c:crosses val="autoZero"/>
        <c:auto val="1"/>
        <c:lblAlgn val="ctr"/>
        <c:lblOffset val="100"/>
        <c:noMultiLvlLbl val="0"/>
      </c:catAx>
      <c:valAx>
        <c:axId val="182323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3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latin typeface="+mn-lt"/>
                <a:cs typeface="Arial" panose="020B0604020202020204" pitchFamily="34" charset="0"/>
              </a:rPr>
              <a:t>Subject 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'Subject Analysis'!$B$1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'Subject Analysis'!$A$2:$A$4</c:f>
              <c:strCache>
                <c:ptCount val="3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</c:strCache>
            </c:strRef>
          </c:cat>
          <c:val>
            <c:numRef>
              <c:f>'Subject Analysis'!$B$2:$B$4</c:f>
              <c:numCache>
                <c:formatCode>0</c:formatCode>
                <c:ptCount val="3"/>
                <c:pt idx="0">
                  <c:v>84</c:v>
                </c:pt>
                <c:pt idx="1">
                  <c:v>83.533333333333331</c:v>
                </c:pt>
                <c:pt idx="2">
                  <c:v>83.86666666666666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4-4D72-B1AC-D38EB8B47F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8790576"/>
        <c:axId val="1768791056"/>
      </c:barChart>
      <c:catAx>
        <c:axId val="1768790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91056"/>
        <c:crosses val="autoZero"/>
        <c:auto val="1"/>
        <c:lblAlgn val="ctr"/>
        <c:lblOffset val="100"/>
        <c:noMultiLvlLbl val="0"/>
      </c:catAx>
      <c:valAx>
        <c:axId val="176879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9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[Student_Analysis.xlsx]Attendance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latin typeface="+mn-lt"/>
              </a:rPr>
              <a:t>Attendance by Student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'Attendance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'Attendance Analysis'!$A$2:$A$17</c:f>
              <c:strCache>
                <c:ptCount val="15"/>
                <c:pt idx="0">
                  <c:v>Aaron</c:v>
                </c:pt>
                <c:pt idx="1">
                  <c:v>Ben</c:v>
                </c:pt>
                <c:pt idx="2">
                  <c:v>Chris</c:v>
                </c:pt>
                <c:pt idx="3">
                  <c:v>David</c:v>
                </c:pt>
                <c:pt idx="4">
                  <c:v>Ethan</c:v>
                </c:pt>
                <c:pt idx="5">
                  <c:v>Felix</c:v>
                </c:pt>
                <c:pt idx="6">
                  <c:v>George</c:v>
                </c:pt>
                <c:pt idx="7">
                  <c:v>Henry</c:v>
                </c:pt>
                <c:pt idx="8">
                  <c:v>Ivan</c:v>
                </c:pt>
                <c:pt idx="9">
                  <c:v>Jack</c:v>
                </c:pt>
                <c:pt idx="10">
                  <c:v>Kevin</c:v>
                </c:pt>
                <c:pt idx="11">
                  <c:v>Liam</c:v>
                </c:pt>
                <c:pt idx="12">
                  <c:v>Mason</c:v>
                </c:pt>
                <c:pt idx="13">
                  <c:v>Noah</c:v>
                </c:pt>
                <c:pt idx="14">
                  <c:v>Oliver</c:v>
                </c:pt>
              </c:strCache>
            </c:strRef>
          </c:cat>
          <c:val>
            <c:numRef>
              <c:f>'Attendance Analysis'!$B$2:$B$17</c:f>
              <c:numCache>
                <c:formatCode>0</c:formatCode>
                <c:ptCount val="15"/>
                <c:pt idx="0">
                  <c:v>95</c:v>
                </c:pt>
                <c:pt idx="1">
                  <c:v>97</c:v>
                </c:pt>
                <c:pt idx="2">
                  <c:v>90</c:v>
                </c:pt>
                <c:pt idx="3">
                  <c:v>96</c:v>
                </c:pt>
                <c:pt idx="4">
                  <c:v>98</c:v>
                </c:pt>
                <c:pt idx="5">
                  <c:v>85</c:v>
                </c:pt>
                <c:pt idx="6">
                  <c:v>92</c:v>
                </c:pt>
                <c:pt idx="7">
                  <c:v>88</c:v>
                </c:pt>
                <c:pt idx="8">
                  <c:v>95</c:v>
                </c:pt>
                <c:pt idx="9">
                  <c:v>91</c:v>
                </c:pt>
                <c:pt idx="10">
                  <c:v>94</c:v>
                </c:pt>
                <c:pt idx="11">
                  <c:v>99</c:v>
                </c:pt>
                <c:pt idx="12">
                  <c:v>87</c:v>
                </c:pt>
                <c:pt idx="13">
                  <c:v>93</c:v>
                </c:pt>
                <c:pt idx="1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6-468C-BBC6-882B1D2180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90034576"/>
        <c:axId val="1890035056"/>
      </c:barChart>
      <c:catAx>
        <c:axId val="18900345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35056"/>
        <c:crosses val="autoZero"/>
        <c:auto val="1"/>
        <c:lblAlgn val="ctr"/>
        <c:lblOffset val="100"/>
        <c:noMultiLvlLbl val="0"/>
      </c:catAx>
      <c:valAx>
        <c:axId val="189003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Attendance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3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[Student_Analysis.xlsx]Average Marks Analysis!PivotTable1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+mn-lt"/>
                <a:cs typeface="Arial" panose="020B0604020202020204" pitchFamily="34" charset="0"/>
              </a:rPr>
              <a:t>Average Marks by Student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Marks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Marks Analysis'!$A$2:$A$17</c:f>
              <c:strCache>
                <c:ptCount val="15"/>
                <c:pt idx="0">
                  <c:v>Aaron</c:v>
                </c:pt>
                <c:pt idx="1">
                  <c:v>Ben</c:v>
                </c:pt>
                <c:pt idx="2">
                  <c:v>Chris</c:v>
                </c:pt>
                <c:pt idx="3">
                  <c:v>David</c:v>
                </c:pt>
                <c:pt idx="4">
                  <c:v>Ethan</c:v>
                </c:pt>
                <c:pt idx="5">
                  <c:v>Felix</c:v>
                </c:pt>
                <c:pt idx="6">
                  <c:v>George</c:v>
                </c:pt>
                <c:pt idx="7">
                  <c:v>Henry</c:v>
                </c:pt>
                <c:pt idx="8">
                  <c:v>Ivan</c:v>
                </c:pt>
                <c:pt idx="9">
                  <c:v>Jack</c:v>
                </c:pt>
                <c:pt idx="10">
                  <c:v>Kevin</c:v>
                </c:pt>
                <c:pt idx="11">
                  <c:v>Liam</c:v>
                </c:pt>
                <c:pt idx="12">
                  <c:v>Mason</c:v>
                </c:pt>
                <c:pt idx="13">
                  <c:v>Noah</c:v>
                </c:pt>
                <c:pt idx="14">
                  <c:v>Oliver</c:v>
                </c:pt>
              </c:strCache>
            </c:strRef>
          </c:cat>
          <c:val>
            <c:numRef>
              <c:f>'Average Marks Analysis'!$B$2:$B$17</c:f>
              <c:numCache>
                <c:formatCode>0</c:formatCode>
                <c:ptCount val="15"/>
                <c:pt idx="0">
                  <c:v>84</c:v>
                </c:pt>
                <c:pt idx="1">
                  <c:v>88</c:v>
                </c:pt>
                <c:pt idx="2">
                  <c:v>79</c:v>
                </c:pt>
                <c:pt idx="3">
                  <c:v>89</c:v>
                </c:pt>
                <c:pt idx="4">
                  <c:v>94</c:v>
                </c:pt>
                <c:pt idx="5">
                  <c:v>70</c:v>
                </c:pt>
                <c:pt idx="6">
                  <c:v>83</c:v>
                </c:pt>
                <c:pt idx="7">
                  <c:v>72</c:v>
                </c:pt>
                <c:pt idx="8">
                  <c:v>89</c:v>
                </c:pt>
                <c:pt idx="9">
                  <c:v>81</c:v>
                </c:pt>
                <c:pt idx="10">
                  <c:v>88</c:v>
                </c:pt>
                <c:pt idx="11">
                  <c:v>96</c:v>
                </c:pt>
                <c:pt idx="12">
                  <c:v>73</c:v>
                </c:pt>
                <c:pt idx="13">
                  <c:v>82</c:v>
                </c:pt>
                <c:pt idx="1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4-461E-8DE3-B83625D74C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3232480"/>
        <c:axId val="1823233920"/>
      </c:barChart>
      <c:catAx>
        <c:axId val="1823232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33920"/>
        <c:crosses val="autoZero"/>
        <c:auto val="1"/>
        <c:lblAlgn val="ctr"/>
        <c:lblOffset val="100"/>
        <c:noMultiLvlLbl val="0"/>
      </c:catAx>
      <c:valAx>
        <c:axId val="182323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3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latin typeface="+mn-lt"/>
                <a:cs typeface="Arial" panose="020B0604020202020204" pitchFamily="34" charset="0"/>
              </a:rPr>
              <a:t>Subject 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'Subject Analysis'!$B$1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'Subject Analysis'!$A$2:$A$4</c:f>
              <c:strCache>
                <c:ptCount val="3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</c:strCache>
            </c:strRef>
          </c:cat>
          <c:val>
            <c:numRef>
              <c:f>'Subject Analysis'!$B$2:$B$4</c:f>
              <c:numCache>
                <c:formatCode>0</c:formatCode>
                <c:ptCount val="3"/>
                <c:pt idx="0">
                  <c:v>84</c:v>
                </c:pt>
                <c:pt idx="1">
                  <c:v>83.533333333333331</c:v>
                </c:pt>
                <c:pt idx="2">
                  <c:v>83.86666666666666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5-4B13-84E2-4E498448F2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8790576"/>
        <c:axId val="1768791056"/>
      </c:barChart>
      <c:catAx>
        <c:axId val="1768790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91056"/>
        <c:crosses val="autoZero"/>
        <c:auto val="1"/>
        <c:lblAlgn val="ctr"/>
        <c:lblOffset val="100"/>
        <c:noMultiLvlLbl val="0"/>
      </c:catAx>
      <c:valAx>
        <c:axId val="176879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9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[Student_Analysis.xlsx]Attendance Analysis!PivotTable3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latin typeface="+mn-lt"/>
              </a:rPr>
              <a:t>Attendance by Student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'Attendance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'Attendance Analysis'!$A$2:$A$17</c:f>
              <c:strCache>
                <c:ptCount val="15"/>
                <c:pt idx="0">
                  <c:v>Aaron</c:v>
                </c:pt>
                <c:pt idx="1">
                  <c:v>Ben</c:v>
                </c:pt>
                <c:pt idx="2">
                  <c:v>Chris</c:v>
                </c:pt>
                <c:pt idx="3">
                  <c:v>David</c:v>
                </c:pt>
                <c:pt idx="4">
                  <c:v>Ethan</c:v>
                </c:pt>
                <c:pt idx="5">
                  <c:v>Felix</c:v>
                </c:pt>
                <c:pt idx="6">
                  <c:v>George</c:v>
                </c:pt>
                <c:pt idx="7">
                  <c:v>Henry</c:v>
                </c:pt>
                <c:pt idx="8">
                  <c:v>Ivan</c:v>
                </c:pt>
                <c:pt idx="9">
                  <c:v>Jack</c:v>
                </c:pt>
                <c:pt idx="10">
                  <c:v>Kevin</c:v>
                </c:pt>
                <c:pt idx="11">
                  <c:v>Liam</c:v>
                </c:pt>
                <c:pt idx="12">
                  <c:v>Mason</c:v>
                </c:pt>
                <c:pt idx="13">
                  <c:v>Noah</c:v>
                </c:pt>
                <c:pt idx="14">
                  <c:v>Oliver</c:v>
                </c:pt>
              </c:strCache>
            </c:strRef>
          </c:cat>
          <c:val>
            <c:numRef>
              <c:f>'Attendance Analysis'!$B$2:$B$17</c:f>
              <c:numCache>
                <c:formatCode>0</c:formatCode>
                <c:ptCount val="15"/>
                <c:pt idx="0">
                  <c:v>95</c:v>
                </c:pt>
                <c:pt idx="1">
                  <c:v>97</c:v>
                </c:pt>
                <c:pt idx="2">
                  <c:v>90</c:v>
                </c:pt>
                <c:pt idx="3">
                  <c:v>96</c:v>
                </c:pt>
                <c:pt idx="4">
                  <c:v>98</c:v>
                </c:pt>
                <c:pt idx="5">
                  <c:v>85</c:v>
                </c:pt>
                <c:pt idx="6">
                  <c:v>92</c:v>
                </c:pt>
                <c:pt idx="7">
                  <c:v>88</c:v>
                </c:pt>
                <c:pt idx="8">
                  <c:v>95</c:v>
                </c:pt>
                <c:pt idx="9">
                  <c:v>91</c:v>
                </c:pt>
                <c:pt idx="10">
                  <c:v>94</c:v>
                </c:pt>
                <c:pt idx="11">
                  <c:v>99</c:v>
                </c:pt>
                <c:pt idx="12">
                  <c:v>87</c:v>
                </c:pt>
                <c:pt idx="13">
                  <c:v>93</c:v>
                </c:pt>
                <c:pt idx="1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4-43AC-A3DB-F3C23B4A5C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90034576"/>
        <c:axId val="1890035056"/>
      </c:barChart>
      <c:catAx>
        <c:axId val="18900345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35056"/>
        <c:crosses val="autoZero"/>
        <c:auto val="1"/>
        <c:lblAlgn val="ctr"/>
        <c:lblOffset val="100"/>
        <c:noMultiLvlLbl val="0"/>
      </c:catAx>
      <c:valAx>
        <c:axId val="189003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Attendance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3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</xdr:row>
      <xdr:rowOff>129540</xdr:rowOff>
    </xdr:from>
    <xdr:to>
      <xdr:col>14</xdr:col>
      <xdr:colOff>464820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954E1B-2FED-15C0-B4F4-78A7CE60A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1</xdr:row>
      <xdr:rowOff>160020</xdr:rowOff>
    </xdr:from>
    <xdr:to>
      <xdr:col>15</xdr:col>
      <xdr:colOff>502920</xdr:colOff>
      <xdr:row>25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D19AD0-9960-DC4A-2D72-2928EC72B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2</xdr:row>
      <xdr:rowOff>30480</xdr:rowOff>
    </xdr:from>
    <xdr:to>
      <xdr:col>15</xdr:col>
      <xdr:colOff>236220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89A8D-932E-C9A9-B9C9-1D62E3087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3</xdr:row>
      <xdr:rowOff>83820</xdr:rowOff>
    </xdr:from>
    <xdr:to>
      <xdr:col>9</xdr:col>
      <xdr:colOff>320040</xdr:colOff>
      <xdr:row>13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BE49B-AAF9-4F14-BE29-908C25C72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1272540</xdr:colOff>
      <xdr:row>3</xdr:row>
      <xdr:rowOff>15240</xdr:rowOff>
    </xdr:from>
    <xdr:to>
      <xdr:col>15</xdr:col>
      <xdr:colOff>1760220</xdr:colOff>
      <xdr:row>13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256251-BA6B-4BE9-BEA7-7BDAEBC65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182880</xdr:colOff>
      <xdr:row>13</xdr:row>
      <xdr:rowOff>45720</xdr:rowOff>
    </xdr:from>
    <xdr:to>
      <xdr:col>14</xdr:col>
      <xdr:colOff>114300</xdr:colOff>
      <xdr:row>27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40A62E-288E-447C-82AA-E4B5377CD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J" refreshedDate="46183.634319675926" createdVersion="8" refreshedVersion="8" minRefreshableVersion="3" recordCount="15" xr:uid="{A4F27C05-FD87-4664-A1BD-5546492592BA}">
  <cacheSource type="worksheet">
    <worksheetSource name="Table1"/>
  </cacheSource>
  <cacheFields count="7">
    <cacheField name="StudentID" numFmtId="0">
      <sharedItems containsSemiMixedTypes="0" containsString="0" containsNumber="1" containsInteger="1" minValue="101" maxValue="115"/>
    </cacheField>
    <cacheField name="Name" numFmtId="0">
      <sharedItems count="15">
        <s v="Aaron"/>
        <s v="Ben"/>
        <s v="Chris"/>
        <s v="David"/>
        <s v="Ethan"/>
        <s v="Felix"/>
        <s v="George"/>
        <s v="Henry"/>
        <s v="Ivan"/>
        <s v="Jack"/>
        <s v="Kevin"/>
        <s v="Liam"/>
        <s v="Mason"/>
        <s v="Noah"/>
        <s v="Oliver"/>
      </sharedItems>
    </cacheField>
    <cacheField name="Math" numFmtId="0">
      <sharedItems containsSemiMixedTypes="0" containsString="0" containsNumber="1" containsInteger="1" minValue="67" maxValue="96"/>
    </cacheField>
    <cacheField name="Science" numFmtId="0">
      <sharedItems containsSemiMixedTypes="0" containsString="0" containsNumber="1" containsInteger="1" minValue="69" maxValue="95"/>
    </cacheField>
    <cacheField name="English" numFmtId="0">
      <sharedItems containsSemiMixedTypes="0" containsString="0" containsNumber="1" containsInteger="1" minValue="70" maxValue="97"/>
    </cacheField>
    <cacheField name="Attendance" numFmtId="0">
      <sharedItems containsSemiMixedTypes="0" containsString="0" containsNumber="1" containsInteger="1" minValue="85" maxValue="99"/>
    </cacheField>
    <cacheField name="AverageMarks" numFmtId="0">
      <sharedItems containsSemiMixedTypes="0" containsString="0" containsNumber="1" containsInteger="1" minValue="70" maxValue="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"/>
    <x v="0"/>
    <n v="85"/>
    <n v="78"/>
    <n v="90"/>
    <n v="95"/>
    <n v="84"/>
  </r>
  <r>
    <n v="102"/>
    <x v="1"/>
    <n v="92"/>
    <n v="88"/>
    <n v="84"/>
    <n v="97"/>
    <n v="88"/>
  </r>
  <r>
    <n v="103"/>
    <x v="2"/>
    <n v="76"/>
    <n v="81"/>
    <n v="79"/>
    <n v="90"/>
    <n v="79"/>
  </r>
  <r>
    <n v="104"/>
    <x v="3"/>
    <n v="89"/>
    <n v="91"/>
    <n v="87"/>
    <n v="96"/>
    <n v="89"/>
  </r>
  <r>
    <n v="105"/>
    <x v="4"/>
    <n v="95"/>
    <n v="94"/>
    <n v="92"/>
    <n v="98"/>
    <n v="94"/>
  </r>
  <r>
    <n v="106"/>
    <x v="5"/>
    <n v="67"/>
    <n v="72"/>
    <n v="70"/>
    <n v="85"/>
    <n v="70"/>
  </r>
  <r>
    <n v="107"/>
    <x v="6"/>
    <n v="80"/>
    <n v="83"/>
    <n v="85"/>
    <n v="92"/>
    <n v="83"/>
  </r>
  <r>
    <n v="108"/>
    <x v="7"/>
    <n v="74"/>
    <n v="69"/>
    <n v="72"/>
    <n v="88"/>
    <n v="72"/>
  </r>
  <r>
    <n v="109"/>
    <x v="8"/>
    <n v="90"/>
    <n v="87"/>
    <n v="89"/>
    <n v="95"/>
    <n v="89"/>
  </r>
  <r>
    <n v="110"/>
    <x v="9"/>
    <n v="82"/>
    <n v="79"/>
    <n v="81"/>
    <n v="91"/>
    <n v="81"/>
  </r>
  <r>
    <n v="111"/>
    <x v="10"/>
    <n v="88"/>
    <n v="90"/>
    <n v="86"/>
    <n v="94"/>
    <n v="88"/>
  </r>
  <r>
    <n v="112"/>
    <x v="11"/>
    <n v="96"/>
    <n v="95"/>
    <n v="97"/>
    <n v="99"/>
    <n v="96"/>
  </r>
  <r>
    <n v="113"/>
    <x v="12"/>
    <n v="71"/>
    <n v="75"/>
    <n v="73"/>
    <n v="87"/>
    <n v="73"/>
  </r>
  <r>
    <n v="114"/>
    <x v="13"/>
    <n v="84"/>
    <n v="82"/>
    <n v="80"/>
    <n v="93"/>
    <n v="82"/>
  </r>
  <r>
    <n v="115"/>
    <x v="14"/>
    <n v="91"/>
    <n v="89"/>
    <n v="93"/>
    <n v="97"/>
    <n v="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57BA1-E612-4392-AE51-0BBFF7C6B91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Name">
  <location ref="A1:B17" firstHeaderRow="1" firstDataRow="1" firstDataCol="1"/>
  <pivotFields count="7"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AverageMarks" fld="6" subtotal="average" baseField="1" baseItem="0" numFmtId="1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2B12E-2012-43FF-AC0C-27F9090C74E7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Name">
  <location ref="A1:B17" firstHeaderRow="1" firstDataRow="1" firstDataCol="1"/>
  <pivotFields count="7"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Attendance" fld="5" subtotal="average" baseField="1" baseItem="0" numFmtId="1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3B1CF0-B5FC-4433-A68E-80482E6926D9}" name="Table1" displayName="Table1" ref="A1:G16" totalsRowShown="0">
  <autoFilter ref="A1:G16" xr:uid="{EC3B1CF0-B5FC-4433-A68E-80482E6926D9}"/>
  <tableColumns count="7">
    <tableColumn id="1" xr3:uid="{39EC846F-DE59-4566-AD9E-C95BEB919334}" name="StudentID"/>
    <tableColumn id="2" xr3:uid="{6A2705F6-A670-4E2A-9B13-FF7EC7072F9A}" name="Name"/>
    <tableColumn id="3" xr3:uid="{72326EC5-38D9-4A3D-B50E-85EED6F80888}" name="Math"/>
    <tableColumn id="4" xr3:uid="{9200DD82-06A5-4421-A02E-C07574F396D0}" name="Science"/>
    <tableColumn id="5" xr3:uid="{9BF708C1-EF67-4C0F-A690-E19B102EB772}" name="English"/>
    <tableColumn id="6" xr3:uid="{BC7D5BA8-E23A-4500-BAF7-E751EE14F59C}" name="Attendance" dataDxfId="0"/>
    <tableColumn id="7" xr3:uid="{B898F3AC-D71F-4A12-A453-480D5670F245}" name="Averag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E3EC23-D68B-4CA4-BE7C-E4D66855180F}" name="Table2" displayName="Table2" ref="A1:B4" totalsRowShown="0">
  <autoFilter ref="A1:B4" xr:uid="{83E3EC23-D68B-4CA4-BE7C-E4D66855180F}"/>
  <tableColumns count="2">
    <tableColumn id="1" xr3:uid="{DB047752-6490-4730-915C-F3755AEE7562}" name="Subject"/>
    <tableColumn id="2" xr3:uid="{06896DE5-3D00-4D3C-9636-DAE2F3C44C34}" name="Average Mark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E430-756C-49F0-8581-DF395F553716}">
  <dimension ref="A1:G16"/>
  <sheetViews>
    <sheetView tabSelected="1" workbookViewId="0">
      <selection activeCell="C24" sqref="C24"/>
    </sheetView>
  </sheetViews>
  <sheetFormatPr defaultRowHeight="14.4" x14ac:dyDescent="0.3"/>
  <cols>
    <col min="1" max="1" width="11.33203125" customWidth="1"/>
    <col min="4" max="4" width="9.21875" customWidth="1"/>
    <col min="6" max="6" width="12.6640625" style="3" customWidth="1"/>
    <col min="7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</row>
    <row r="2" spans="1:7" x14ac:dyDescent="0.3">
      <c r="A2">
        <v>101</v>
      </c>
      <c r="B2" t="s">
        <v>7</v>
      </c>
      <c r="C2">
        <v>85</v>
      </c>
      <c r="D2">
        <v>78</v>
      </c>
      <c r="E2">
        <v>90</v>
      </c>
      <c r="F2" s="3">
        <v>95</v>
      </c>
      <c r="G2">
        <v>84</v>
      </c>
    </row>
    <row r="3" spans="1:7" x14ac:dyDescent="0.3">
      <c r="A3">
        <v>102</v>
      </c>
      <c r="B3" t="s">
        <v>8</v>
      </c>
      <c r="C3">
        <v>92</v>
      </c>
      <c r="D3">
        <v>88</v>
      </c>
      <c r="E3">
        <v>84</v>
      </c>
      <c r="F3" s="3">
        <v>97</v>
      </c>
      <c r="G3">
        <v>88</v>
      </c>
    </row>
    <row r="4" spans="1:7" x14ac:dyDescent="0.3">
      <c r="A4">
        <v>103</v>
      </c>
      <c r="B4" t="s">
        <v>9</v>
      </c>
      <c r="C4">
        <v>76</v>
      </c>
      <c r="D4">
        <v>81</v>
      </c>
      <c r="E4">
        <v>79</v>
      </c>
      <c r="F4" s="3">
        <v>90</v>
      </c>
      <c r="G4">
        <v>79</v>
      </c>
    </row>
    <row r="5" spans="1:7" x14ac:dyDescent="0.3">
      <c r="A5">
        <v>104</v>
      </c>
      <c r="B5" t="s">
        <v>10</v>
      </c>
      <c r="C5">
        <v>89</v>
      </c>
      <c r="D5">
        <v>91</v>
      </c>
      <c r="E5">
        <v>87</v>
      </c>
      <c r="F5" s="3">
        <v>96</v>
      </c>
      <c r="G5">
        <v>89</v>
      </c>
    </row>
    <row r="6" spans="1:7" x14ac:dyDescent="0.3">
      <c r="A6">
        <v>105</v>
      </c>
      <c r="B6" t="s">
        <v>11</v>
      </c>
      <c r="C6">
        <v>95</v>
      </c>
      <c r="D6">
        <v>94</v>
      </c>
      <c r="E6">
        <v>92</v>
      </c>
      <c r="F6" s="3">
        <v>98</v>
      </c>
      <c r="G6">
        <v>94</v>
      </c>
    </row>
    <row r="7" spans="1:7" x14ac:dyDescent="0.3">
      <c r="A7">
        <v>106</v>
      </c>
      <c r="B7" t="s">
        <v>12</v>
      </c>
      <c r="C7">
        <v>67</v>
      </c>
      <c r="D7">
        <v>72</v>
      </c>
      <c r="E7">
        <v>70</v>
      </c>
      <c r="F7" s="3">
        <v>85</v>
      </c>
      <c r="G7">
        <v>70</v>
      </c>
    </row>
    <row r="8" spans="1:7" x14ac:dyDescent="0.3">
      <c r="A8">
        <v>107</v>
      </c>
      <c r="B8" t="s">
        <v>13</v>
      </c>
      <c r="C8">
        <v>80</v>
      </c>
      <c r="D8">
        <v>83</v>
      </c>
      <c r="E8">
        <v>85</v>
      </c>
      <c r="F8" s="3">
        <v>92</v>
      </c>
      <c r="G8">
        <v>83</v>
      </c>
    </row>
    <row r="9" spans="1:7" x14ac:dyDescent="0.3">
      <c r="A9">
        <v>108</v>
      </c>
      <c r="B9" t="s">
        <v>14</v>
      </c>
      <c r="C9">
        <v>74</v>
      </c>
      <c r="D9">
        <v>69</v>
      </c>
      <c r="E9">
        <v>72</v>
      </c>
      <c r="F9" s="3">
        <v>88</v>
      </c>
      <c r="G9">
        <v>72</v>
      </c>
    </row>
    <row r="10" spans="1:7" x14ac:dyDescent="0.3">
      <c r="A10">
        <v>109</v>
      </c>
      <c r="B10" t="s">
        <v>15</v>
      </c>
      <c r="C10">
        <v>90</v>
      </c>
      <c r="D10">
        <v>87</v>
      </c>
      <c r="E10">
        <v>89</v>
      </c>
      <c r="F10" s="3">
        <v>95</v>
      </c>
      <c r="G10">
        <v>89</v>
      </c>
    </row>
    <row r="11" spans="1:7" x14ac:dyDescent="0.3">
      <c r="A11">
        <v>110</v>
      </c>
      <c r="B11" t="s">
        <v>16</v>
      </c>
      <c r="C11">
        <v>82</v>
      </c>
      <c r="D11">
        <v>79</v>
      </c>
      <c r="E11">
        <v>81</v>
      </c>
      <c r="F11" s="3">
        <v>91</v>
      </c>
      <c r="G11">
        <v>81</v>
      </c>
    </row>
    <row r="12" spans="1:7" x14ac:dyDescent="0.3">
      <c r="A12">
        <v>111</v>
      </c>
      <c r="B12" t="s">
        <v>17</v>
      </c>
      <c r="C12">
        <v>88</v>
      </c>
      <c r="D12">
        <v>90</v>
      </c>
      <c r="E12">
        <v>86</v>
      </c>
      <c r="F12" s="3">
        <v>94</v>
      </c>
      <c r="G12">
        <v>88</v>
      </c>
    </row>
    <row r="13" spans="1:7" x14ac:dyDescent="0.3">
      <c r="A13">
        <v>112</v>
      </c>
      <c r="B13" t="s">
        <v>18</v>
      </c>
      <c r="C13">
        <v>96</v>
      </c>
      <c r="D13">
        <v>95</v>
      </c>
      <c r="E13">
        <v>97</v>
      </c>
      <c r="F13" s="3">
        <v>99</v>
      </c>
      <c r="G13">
        <v>96</v>
      </c>
    </row>
    <row r="14" spans="1:7" x14ac:dyDescent="0.3">
      <c r="A14">
        <v>113</v>
      </c>
      <c r="B14" t="s">
        <v>19</v>
      </c>
      <c r="C14">
        <v>71</v>
      </c>
      <c r="D14">
        <v>75</v>
      </c>
      <c r="E14">
        <v>73</v>
      </c>
      <c r="F14" s="3">
        <v>87</v>
      </c>
      <c r="G14">
        <v>73</v>
      </c>
    </row>
    <row r="15" spans="1:7" x14ac:dyDescent="0.3">
      <c r="A15">
        <v>114</v>
      </c>
      <c r="B15" t="s">
        <v>20</v>
      </c>
      <c r="C15">
        <v>84</v>
      </c>
      <c r="D15">
        <v>82</v>
      </c>
      <c r="E15">
        <v>80</v>
      </c>
      <c r="F15" s="3">
        <v>93</v>
      </c>
      <c r="G15">
        <v>82</v>
      </c>
    </row>
    <row r="16" spans="1:7" x14ac:dyDescent="0.3">
      <c r="A16">
        <v>115</v>
      </c>
      <c r="B16" t="s">
        <v>21</v>
      </c>
      <c r="C16">
        <v>91</v>
      </c>
      <c r="D16">
        <v>89</v>
      </c>
      <c r="E16">
        <v>93</v>
      </c>
      <c r="F16" s="3">
        <v>97</v>
      </c>
      <c r="G16">
        <v>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1E87-023E-4237-B2A7-48E15A3F816C}">
  <dimension ref="A1:B17"/>
  <sheetViews>
    <sheetView workbookViewId="0">
      <selection activeCell="B24" sqref="B24"/>
    </sheetView>
  </sheetViews>
  <sheetFormatPr defaultRowHeight="14.4" x14ac:dyDescent="0.3"/>
  <cols>
    <col min="1" max="1" width="12.5546875" bestFit="1" customWidth="1"/>
    <col min="2" max="2" width="23" bestFit="1" customWidth="1"/>
  </cols>
  <sheetData>
    <row r="1" spans="1:2" x14ac:dyDescent="0.3">
      <c r="A1" s="1" t="s">
        <v>1</v>
      </c>
      <c r="B1" t="s">
        <v>23</v>
      </c>
    </row>
    <row r="2" spans="1:2" x14ac:dyDescent="0.3">
      <c r="A2" s="2" t="s">
        <v>7</v>
      </c>
      <c r="B2" s="3">
        <v>84</v>
      </c>
    </row>
    <row r="3" spans="1:2" x14ac:dyDescent="0.3">
      <c r="A3" s="2" t="s">
        <v>8</v>
      </c>
      <c r="B3" s="3">
        <v>88</v>
      </c>
    </row>
    <row r="4" spans="1:2" x14ac:dyDescent="0.3">
      <c r="A4" s="2" t="s">
        <v>9</v>
      </c>
      <c r="B4" s="3">
        <v>79</v>
      </c>
    </row>
    <row r="5" spans="1:2" x14ac:dyDescent="0.3">
      <c r="A5" s="2" t="s">
        <v>10</v>
      </c>
      <c r="B5" s="3">
        <v>89</v>
      </c>
    </row>
    <row r="6" spans="1:2" x14ac:dyDescent="0.3">
      <c r="A6" s="2" t="s">
        <v>11</v>
      </c>
      <c r="B6" s="3">
        <v>94</v>
      </c>
    </row>
    <row r="7" spans="1:2" x14ac:dyDescent="0.3">
      <c r="A7" s="2" t="s">
        <v>12</v>
      </c>
      <c r="B7" s="3">
        <v>70</v>
      </c>
    </row>
    <row r="8" spans="1:2" x14ac:dyDescent="0.3">
      <c r="A8" s="2" t="s">
        <v>13</v>
      </c>
      <c r="B8" s="3">
        <v>83</v>
      </c>
    </row>
    <row r="9" spans="1:2" x14ac:dyDescent="0.3">
      <c r="A9" s="2" t="s">
        <v>14</v>
      </c>
      <c r="B9" s="3">
        <v>72</v>
      </c>
    </row>
    <row r="10" spans="1:2" x14ac:dyDescent="0.3">
      <c r="A10" s="2" t="s">
        <v>15</v>
      </c>
      <c r="B10" s="3">
        <v>89</v>
      </c>
    </row>
    <row r="11" spans="1:2" x14ac:dyDescent="0.3">
      <c r="A11" s="2" t="s">
        <v>16</v>
      </c>
      <c r="B11" s="3">
        <v>81</v>
      </c>
    </row>
    <row r="12" spans="1:2" x14ac:dyDescent="0.3">
      <c r="A12" s="2" t="s">
        <v>17</v>
      </c>
      <c r="B12" s="3">
        <v>88</v>
      </c>
    </row>
    <row r="13" spans="1:2" x14ac:dyDescent="0.3">
      <c r="A13" s="2" t="s">
        <v>18</v>
      </c>
      <c r="B13" s="3">
        <v>96</v>
      </c>
    </row>
    <row r="14" spans="1:2" x14ac:dyDescent="0.3">
      <c r="A14" s="2" t="s">
        <v>19</v>
      </c>
      <c r="B14" s="3">
        <v>73</v>
      </c>
    </row>
    <row r="15" spans="1:2" x14ac:dyDescent="0.3">
      <c r="A15" s="2" t="s">
        <v>20</v>
      </c>
      <c r="B15" s="3">
        <v>82</v>
      </c>
    </row>
    <row r="16" spans="1:2" x14ac:dyDescent="0.3">
      <c r="A16" s="2" t="s">
        <v>21</v>
      </c>
      <c r="B16" s="3">
        <v>91</v>
      </c>
    </row>
    <row r="17" spans="1:2" x14ac:dyDescent="0.3">
      <c r="A17" s="2" t="s">
        <v>22</v>
      </c>
      <c r="B17" s="3">
        <v>83.933333333333337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C55-09EC-4833-B27A-271E363C8CE2}">
  <dimension ref="A1:B4"/>
  <sheetViews>
    <sheetView workbookViewId="0">
      <selection activeCell="A10" sqref="A10"/>
    </sheetView>
  </sheetViews>
  <sheetFormatPr defaultRowHeight="14.4" x14ac:dyDescent="0.3"/>
  <cols>
    <col min="1" max="1" width="12.5546875" bestFit="1" customWidth="1"/>
    <col min="2" max="2" width="15.44140625" style="3" customWidth="1"/>
  </cols>
  <sheetData>
    <row r="1" spans="1:2" x14ac:dyDescent="0.3">
      <c r="A1" t="s">
        <v>24</v>
      </c>
      <c r="B1" s="3" t="s">
        <v>25</v>
      </c>
    </row>
    <row r="2" spans="1:2" x14ac:dyDescent="0.3">
      <c r="A2" t="s">
        <v>2</v>
      </c>
      <c r="B2" s="3">
        <f>AVERAGE(student_clean!C:C)</f>
        <v>84</v>
      </c>
    </row>
    <row r="3" spans="1:2" x14ac:dyDescent="0.3">
      <c r="A3" t="s">
        <v>3</v>
      </c>
      <c r="B3" s="3">
        <f>AVERAGE(student_clean!D:D)</f>
        <v>83.533333333333331</v>
      </c>
    </row>
    <row r="4" spans="1:2" x14ac:dyDescent="0.3">
      <c r="A4" t="s">
        <v>4</v>
      </c>
      <c r="B4" s="3">
        <f>AVERAGE(student_clean!E:E)</f>
        <v>83.86666666666666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8281-91C3-4652-A090-0370BA5E51D1}">
  <dimension ref="A1:B17"/>
  <sheetViews>
    <sheetView workbookViewId="0">
      <selection activeCell="B24" sqref="B24"/>
    </sheetView>
  </sheetViews>
  <sheetFormatPr defaultRowHeight="14.4" x14ac:dyDescent="0.3"/>
  <cols>
    <col min="1" max="1" width="12.5546875" bestFit="1" customWidth="1"/>
    <col min="2" max="2" width="20.5546875" bestFit="1" customWidth="1"/>
  </cols>
  <sheetData>
    <row r="1" spans="1:2" x14ac:dyDescent="0.3">
      <c r="A1" s="1" t="s">
        <v>1</v>
      </c>
      <c r="B1" t="s">
        <v>26</v>
      </c>
    </row>
    <row r="2" spans="1:2" x14ac:dyDescent="0.3">
      <c r="A2" s="2" t="s">
        <v>7</v>
      </c>
      <c r="B2" s="3">
        <v>95</v>
      </c>
    </row>
    <row r="3" spans="1:2" x14ac:dyDescent="0.3">
      <c r="A3" s="2" t="s">
        <v>8</v>
      </c>
      <c r="B3" s="3">
        <v>97</v>
      </c>
    </row>
    <row r="4" spans="1:2" x14ac:dyDescent="0.3">
      <c r="A4" s="2" t="s">
        <v>9</v>
      </c>
      <c r="B4" s="3">
        <v>90</v>
      </c>
    </row>
    <row r="5" spans="1:2" x14ac:dyDescent="0.3">
      <c r="A5" s="2" t="s">
        <v>10</v>
      </c>
      <c r="B5" s="3">
        <v>96</v>
      </c>
    </row>
    <row r="6" spans="1:2" x14ac:dyDescent="0.3">
      <c r="A6" s="2" t="s">
        <v>11</v>
      </c>
      <c r="B6" s="3">
        <v>98</v>
      </c>
    </row>
    <row r="7" spans="1:2" x14ac:dyDescent="0.3">
      <c r="A7" s="2" t="s">
        <v>12</v>
      </c>
      <c r="B7" s="3">
        <v>85</v>
      </c>
    </row>
    <row r="8" spans="1:2" x14ac:dyDescent="0.3">
      <c r="A8" s="2" t="s">
        <v>13</v>
      </c>
      <c r="B8" s="3">
        <v>92</v>
      </c>
    </row>
    <row r="9" spans="1:2" x14ac:dyDescent="0.3">
      <c r="A9" s="2" t="s">
        <v>14</v>
      </c>
      <c r="B9" s="3">
        <v>88</v>
      </c>
    </row>
    <row r="10" spans="1:2" x14ac:dyDescent="0.3">
      <c r="A10" s="2" t="s">
        <v>15</v>
      </c>
      <c r="B10" s="3">
        <v>95</v>
      </c>
    </row>
    <row r="11" spans="1:2" x14ac:dyDescent="0.3">
      <c r="A11" s="2" t="s">
        <v>16</v>
      </c>
      <c r="B11" s="3">
        <v>91</v>
      </c>
    </row>
    <row r="12" spans="1:2" x14ac:dyDescent="0.3">
      <c r="A12" s="2" t="s">
        <v>17</v>
      </c>
      <c r="B12" s="3">
        <v>94</v>
      </c>
    </row>
    <row r="13" spans="1:2" x14ac:dyDescent="0.3">
      <c r="A13" s="2" t="s">
        <v>18</v>
      </c>
      <c r="B13" s="3">
        <v>99</v>
      </c>
    </row>
    <row r="14" spans="1:2" x14ac:dyDescent="0.3">
      <c r="A14" s="2" t="s">
        <v>19</v>
      </c>
      <c r="B14" s="3">
        <v>87</v>
      </c>
    </row>
    <row r="15" spans="1:2" x14ac:dyDescent="0.3">
      <c r="A15" s="2" t="s">
        <v>20</v>
      </c>
      <c r="B15" s="3">
        <v>93</v>
      </c>
    </row>
    <row r="16" spans="1:2" x14ac:dyDescent="0.3">
      <c r="A16" s="2" t="s">
        <v>21</v>
      </c>
      <c r="B16" s="3">
        <v>97</v>
      </c>
    </row>
    <row r="17" spans="1:2" x14ac:dyDescent="0.3">
      <c r="A17" s="2" t="s">
        <v>22</v>
      </c>
      <c r="B17" s="3">
        <v>93.13333333333334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42D3-6A6E-496D-B7EC-551312D3B3DF}">
  <dimension ref="A1:Q30"/>
  <sheetViews>
    <sheetView workbookViewId="0">
      <selection activeCell="P18" sqref="P18"/>
    </sheetView>
  </sheetViews>
  <sheetFormatPr defaultRowHeight="14.4" x14ac:dyDescent="0.3"/>
  <cols>
    <col min="1" max="1" width="18.33203125" customWidth="1"/>
    <col min="2" max="2" width="11.6640625" style="3" customWidth="1"/>
    <col min="3" max="3" width="4.21875" customWidth="1"/>
    <col min="4" max="4" width="9.6640625" customWidth="1"/>
    <col min="5" max="5" width="14.6640625" customWidth="1"/>
    <col min="6" max="6" width="6.77734375" customWidth="1"/>
    <col min="7" max="7" width="6.44140625" customWidth="1"/>
    <col min="8" max="8" width="5" customWidth="1"/>
    <col min="9" max="9" width="5.77734375" customWidth="1"/>
    <col min="10" max="10" width="24.21875" customWidth="1"/>
    <col min="13" max="13" width="24.88671875" customWidth="1"/>
    <col min="14" max="14" width="13" customWidth="1"/>
    <col min="15" max="15" width="8.88671875" customWidth="1"/>
    <col min="16" max="16" width="35.33203125" customWidth="1"/>
    <col min="17" max="17" width="15.21875" customWidth="1"/>
    <col min="18" max="18" width="19.44140625" customWidth="1"/>
  </cols>
  <sheetData>
    <row r="1" spans="1:17" ht="14.4" customHeight="1" x14ac:dyDescent="0.3">
      <c r="A1" s="5" t="s">
        <v>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4"/>
    </row>
    <row r="2" spans="1:17" ht="14.4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</row>
    <row r="3" spans="1:17" ht="18" x14ac:dyDescent="0.3">
      <c r="A3" s="6" t="s">
        <v>25</v>
      </c>
      <c r="B3" s="7">
        <f>AVERAGE(student_clean!G:G)</f>
        <v>83.933333333333337</v>
      </c>
      <c r="C3" s="6"/>
      <c r="D3" s="8"/>
      <c r="E3" s="6" t="s">
        <v>27</v>
      </c>
      <c r="F3" s="7">
        <f>MAX(student_clean!G:G)</f>
        <v>96</v>
      </c>
      <c r="G3" s="8"/>
      <c r="H3" s="8"/>
      <c r="I3" s="8"/>
      <c r="J3" s="6" t="s">
        <v>28</v>
      </c>
      <c r="K3" s="7">
        <f>COUNTA(student_clean!A:A)-1</f>
        <v>15</v>
      </c>
      <c r="L3" s="8"/>
      <c r="M3" s="6" t="s">
        <v>29</v>
      </c>
      <c r="N3" s="7">
        <f>AVERAGE(student_clean!F:F)</f>
        <v>93.13333333333334</v>
      </c>
      <c r="O3" s="8"/>
      <c r="P3" s="8"/>
    </row>
    <row r="4" spans="1:17" ht="18" x14ac:dyDescent="0.3">
      <c r="A4" s="6"/>
      <c r="B4" s="7"/>
      <c r="C4" s="6"/>
      <c r="D4" s="6"/>
      <c r="E4" s="6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7" ht="18" x14ac:dyDescent="0.3">
      <c r="A5" s="6"/>
      <c r="B5" s="9"/>
      <c r="C5" s="6"/>
      <c r="D5" s="8"/>
      <c r="E5" s="6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7" ht="18" x14ac:dyDescent="0.3">
      <c r="A6" s="8"/>
      <c r="B6" s="9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7" x14ac:dyDescent="0.3">
      <c r="A7" s="8"/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7" x14ac:dyDescent="0.3">
      <c r="A8" s="8"/>
      <c r="B8" s="9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7" x14ac:dyDescent="0.3">
      <c r="A9" s="8"/>
      <c r="B9" s="9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7" x14ac:dyDescent="0.3">
      <c r="A10" s="8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7" x14ac:dyDescent="0.3">
      <c r="A11" s="8"/>
      <c r="B11" s="9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7" x14ac:dyDescent="0.3">
      <c r="A12" s="8"/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7" x14ac:dyDescent="0.3">
      <c r="A13" s="8"/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7" x14ac:dyDescent="0.3">
      <c r="A14" s="8"/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7" x14ac:dyDescent="0.3">
      <c r="A15" s="8"/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7" x14ac:dyDescent="0.3">
      <c r="A16" s="8"/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x14ac:dyDescent="0.3">
      <c r="A17" s="8"/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x14ac:dyDescent="0.3">
      <c r="A18" s="8"/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3">
      <c r="A19" s="8"/>
      <c r="B19" s="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3">
      <c r="A20" s="8"/>
      <c r="B20" s="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3">
      <c r="A21" s="8"/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3">
      <c r="A22" s="8"/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x14ac:dyDescent="0.3">
      <c r="A23" s="8"/>
      <c r="B23" s="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x14ac:dyDescent="0.3">
      <c r="A24" s="8"/>
      <c r="B24" s="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3">
      <c r="A25" s="8"/>
      <c r="B25" s="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3">
      <c r="A26" s="8"/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3">
      <c r="A27" s="8"/>
      <c r="B27" s="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3">
      <c r="A28" s="8"/>
      <c r="B28" s="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3">
      <c r="A29" s="8"/>
      <c r="B29" s="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3">
      <c r="A30" s="8"/>
      <c r="B30" s="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</sheetData>
  <mergeCells count="1">
    <mergeCell ref="A1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student_clean</vt:lpstr>
      <vt:lpstr>Average Marks Analysis</vt:lpstr>
      <vt:lpstr>Subject Analysis</vt:lpstr>
      <vt:lpstr>Attendance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</dc:creator>
  <cp:lastModifiedBy>Daniel J</cp:lastModifiedBy>
  <dcterms:created xsi:type="dcterms:W3CDTF">2026-06-10T11:10:04Z</dcterms:created>
  <dcterms:modified xsi:type="dcterms:W3CDTF">2026-06-10T11:10:04Z</dcterms:modified>
</cp:coreProperties>
</file>